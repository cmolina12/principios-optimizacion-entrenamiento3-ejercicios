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p\OneDrive\Documents\"/>
    </mc:Choice>
  </mc:AlternateContent>
  <xr:revisionPtr revIDLastSave="0" documentId="8_{7F6A03AA-EDCD-47DC-99F9-AA3FBA120534}" xr6:coauthVersionLast="47" xr6:coauthVersionMax="47" xr10:uidLastSave="{00000000-0000-0000-0000-000000000000}"/>
  <bookViews>
    <workbookView xWindow="-120" yWindow="-120" windowWidth="29040" windowHeight="15720" xr2:uid="{3CFC6720-A0AF-4E21-B8E3-A78268F4B906}"/>
  </bookViews>
  <sheets>
    <sheet name="Simplex" sheetId="1" r:id="rId1"/>
    <sheet name="Informe de sensibilidad" sheetId="7" r:id="rId2"/>
  </sheets>
  <definedNames>
    <definedName name="solver_adj" localSheetId="0" hidden="1">Simplex!$C$10:$C$11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Simplex!$G$14:$G$18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Simplex!$C$13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Simplex!$I$14:$I$18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18" i="1"/>
  <c r="I14" i="1"/>
  <c r="G17" i="1"/>
  <c r="G16" i="1"/>
  <c r="G15" i="1"/>
  <c r="G14" i="1"/>
  <c r="G18" i="1"/>
  <c r="C13" i="1"/>
</calcChain>
</file>

<file path=xl/sharedStrings.xml><?xml version="1.0" encoding="utf-8"?>
<sst xmlns="http://schemas.openxmlformats.org/spreadsheetml/2006/main" count="64" uniqueCount="43">
  <si>
    <t>A</t>
  </si>
  <si>
    <t>CbT</t>
  </si>
  <si>
    <t>x1</t>
  </si>
  <si>
    <t>x2</t>
  </si>
  <si>
    <t>Variables de decision</t>
  </si>
  <si>
    <t>x - Agua de coco</t>
  </si>
  <si>
    <t>y - Agua de almendra</t>
  </si>
  <si>
    <t>b</t>
  </si>
  <si>
    <t>F.O</t>
  </si>
  <si>
    <t>Restricciones</t>
  </si>
  <si>
    <t>≤</t>
  </si>
  <si>
    <t>Extracto de coco</t>
  </si>
  <si>
    <t>Pasta de almendra</t>
  </si>
  <si>
    <t>Agua</t>
  </si>
  <si>
    <t>Tiempo de produccion</t>
  </si>
  <si>
    <t>Capacidad de produccion</t>
  </si>
  <si>
    <t>Microsoft Excel 16.0 Informe de sensibilidad</t>
  </si>
  <si>
    <t>Celdas de variables</t>
  </si>
  <si>
    <t>Celda</t>
  </si>
  <si>
    <t>Nombre</t>
  </si>
  <si>
    <t>Final</t>
  </si>
  <si>
    <t>Valor</t>
  </si>
  <si>
    <t>Reducido</t>
  </si>
  <si>
    <t>$C$10</t>
  </si>
  <si>
    <t>$C$11</t>
  </si>
  <si>
    <t>$G$14</t>
  </si>
  <si>
    <t>$G$15</t>
  </si>
  <si>
    <t>$G$16</t>
  </si>
  <si>
    <t>$G$17</t>
  </si>
  <si>
    <t>$G$18</t>
  </si>
  <si>
    <t>Valor de c</t>
  </si>
  <si>
    <t>Hoja de cálculo: [solverentrenamiento3.xlsx]Hoja1</t>
  </si>
  <si>
    <t>Objetivo</t>
  </si>
  <si>
    <t>Informe creado: 20/05/2024 1:09:47 a. m.</t>
  </si>
  <si>
    <t>Coste</t>
  </si>
  <si>
    <t>Coeficiente</t>
  </si>
  <si>
    <t>Permisible</t>
  </si>
  <si>
    <t>Aumentar</t>
  </si>
  <si>
    <t>Reducir</t>
  </si>
  <si>
    <t>Sombra</t>
  </si>
  <si>
    <t>Precio</t>
  </si>
  <si>
    <t>Restricción</t>
  </si>
  <si>
    <t>Lado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</si>
</sst>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740D-9D4C-454E-B89F-00E57966AEA4}">
  <dimension ref="B2:K18"/>
  <sheetViews>
    <sheetView tabSelected="1" zoomScale="80" zoomScaleNormal="80" workbookViewId="0">
      <selection activeCell="L31" sqref="L31"/>
    </sheetView>
  </sheetViews>
  <sheetFormatPr baseColWidth="10" defaultRowHeight="15" x14ac:dyDescent="0.25"/>
  <cols>
    <col min="1" max="1" width="11.42578125" style="2"/>
    <col min="2" max="2" width="20.28515625" style="2" bestFit="1" customWidth="1"/>
    <col min="3" max="3" width="13.7109375" style="2" bestFit="1" customWidth="1"/>
    <col min="4" max="4" width="5.5703125" style="2" bestFit="1" customWidth="1"/>
    <col min="5" max="5" width="11.42578125" style="2"/>
    <col min="6" max="6" width="24" style="2" bestFit="1" customWidth="1"/>
    <col min="7" max="7" width="13" style="2" bestFit="1" customWidth="1"/>
    <col min="8" max="8" width="11.42578125" style="2"/>
    <col min="9" max="9" width="5.5703125" style="2" bestFit="1" customWidth="1"/>
    <col min="10" max="10" width="6.5703125" style="2" bestFit="1" customWidth="1"/>
    <col min="11" max="16384" width="11.42578125" style="2"/>
  </cols>
  <sheetData>
    <row r="2" spans="2:11" x14ac:dyDescent="0.25">
      <c r="J2" s="3" t="s">
        <v>2</v>
      </c>
      <c r="K2" s="3" t="s">
        <v>3</v>
      </c>
    </row>
    <row r="3" spans="2:11" x14ac:dyDescent="0.25">
      <c r="B3" s="3" t="s">
        <v>0</v>
      </c>
      <c r="C3" s="7">
        <v>0.35</v>
      </c>
      <c r="D3" s="7">
        <v>0</v>
      </c>
      <c r="F3" s="3" t="s">
        <v>7</v>
      </c>
      <c r="G3" s="4">
        <v>17.8</v>
      </c>
      <c r="I3" s="3" t="s">
        <v>1</v>
      </c>
      <c r="J3" s="6">
        <v>12000</v>
      </c>
      <c r="K3" s="6">
        <v>9500</v>
      </c>
    </row>
    <row r="4" spans="2:11" x14ac:dyDescent="0.25">
      <c r="C4" s="7">
        <v>0</v>
      </c>
      <c r="D4" s="7">
        <v>0.37</v>
      </c>
      <c r="G4" s="4">
        <v>15.2</v>
      </c>
    </row>
    <row r="5" spans="2:11" x14ac:dyDescent="0.25">
      <c r="C5" s="7">
        <v>0.4</v>
      </c>
      <c r="D5" s="7">
        <v>0.47</v>
      </c>
      <c r="G5" s="4">
        <v>42</v>
      </c>
    </row>
    <row r="6" spans="2:11" x14ac:dyDescent="0.25">
      <c r="C6" s="7">
        <v>3.4</v>
      </c>
      <c r="D6" s="7">
        <v>2.6</v>
      </c>
      <c r="G6" s="4">
        <v>720</v>
      </c>
    </row>
    <row r="7" spans="2:11" x14ac:dyDescent="0.25">
      <c r="C7" s="7">
        <v>1</v>
      </c>
      <c r="D7" s="7">
        <v>1</v>
      </c>
      <c r="F7" s="5" t="s">
        <v>30</v>
      </c>
      <c r="G7" s="4">
        <v>75</v>
      </c>
    </row>
    <row r="9" spans="2:11" x14ac:dyDescent="0.25">
      <c r="B9" s="3" t="s">
        <v>4</v>
      </c>
    </row>
    <row r="10" spans="2:11" x14ac:dyDescent="0.25">
      <c r="B10" s="2" t="s">
        <v>5</v>
      </c>
      <c r="C10" s="8">
        <v>50.857142857142861</v>
      </c>
    </row>
    <row r="11" spans="2:11" x14ac:dyDescent="0.25">
      <c r="B11" s="2" t="s">
        <v>6</v>
      </c>
      <c r="C11" s="11">
        <v>24.142857142857139</v>
      </c>
    </row>
    <row r="13" spans="2:11" x14ac:dyDescent="0.25">
      <c r="B13" s="3" t="s">
        <v>8</v>
      </c>
      <c r="C13" s="9">
        <f>J3*C10+K3*C11</f>
        <v>839642.85714285716</v>
      </c>
      <c r="F13" s="3" t="s">
        <v>9</v>
      </c>
    </row>
    <row r="14" spans="2:11" x14ac:dyDescent="0.25">
      <c r="F14" s="2" t="s">
        <v>11</v>
      </c>
      <c r="G14" s="10">
        <f>C3*C10</f>
        <v>17.8</v>
      </c>
      <c r="H14" s="2" t="s">
        <v>10</v>
      </c>
      <c r="I14" s="10">
        <f>G3</f>
        <v>17.8</v>
      </c>
    </row>
    <row r="15" spans="2:11" x14ac:dyDescent="0.25">
      <c r="F15" s="2" t="s">
        <v>12</v>
      </c>
      <c r="G15" s="10">
        <f>D4*C11</f>
        <v>8.9328571428571415</v>
      </c>
      <c r="H15" s="2" t="s">
        <v>10</v>
      </c>
      <c r="I15" s="10">
        <f>G4</f>
        <v>15.2</v>
      </c>
    </row>
    <row r="16" spans="2:11" x14ac:dyDescent="0.25">
      <c r="F16" s="2" t="s">
        <v>13</v>
      </c>
      <c r="G16" s="10">
        <f>C5*C10+D5*C11</f>
        <v>31.689999999999998</v>
      </c>
      <c r="H16" s="2" t="s">
        <v>10</v>
      </c>
      <c r="I16" s="10">
        <f>G5</f>
        <v>42</v>
      </c>
    </row>
    <row r="17" spans="6:9" x14ac:dyDescent="0.25">
      <c r="F17" s="2" t="s">
        <v>14</v>
      </c>
      <c r="G17" s="10">
        <f>C6*C10+D6*C11</f>
        <v>235.68571428571428</v>
      </c>
      <c r="H17" s="2" t="s">
        <v>10</v>
      </c>
      <c r="I17" s="10">
        <f>G6</f>
        <v>720</v>
      </c>
    </row>
    <row r="18" spans="6:9" x14ac:dyDescent="0.25">
      <c r="F18" s="2" t="s">
        <v>15</v>
      </c>
      <c r="G18" s="10">
        <f>C10+C11</f>
        <v>75</v>
      </c>
      <c r="H18" s="2" t="s">
        <v>10</v>
      </c>
      <c r="I18" s="10">
        <f>G7</f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5DFD-112D-4E27-9006-B511266616DE}">
  <dimension ref="A1:H19"/>
  <sheetViews>
    <sheetView showGridLines="0" workbookViewId="0">
      <selection activeCell="K22" sqref="K22"/>
    </sheetView>
  </sheetViews>
  <sheetFormatPr baseColWidth="10" defaultRowHeight="15" x14ac:dyDescent="0.25"/>
  <cols>
    <col min="1" max="1" width="2.28515625" customWidth="1"/>
    <col min="2" max="2" width="6.28515625" bestFit="1" customWidth="1"/>
    <col min="3" max="3" width="24" bestFit="1" customWidth="1"/>
    <col min="4" max="5" width="12" bestFit="1" customWidth="1"/>
    <col min="6" max="6" width="13.140625" bestFit="1" customWidth="1"/>
    <col min="7" max="8" width="12" bestFit="1" customWidth="1"/>
  </cols>
  <sheetData>
    <row r="1" spans="1:8" x14ac:dyDescent="0.25">
      <c r="A1" s="1" t="s">
        <v>16</v>
      </c>
    </row>
    <row r="2" spans="1:8" x14ac:dyDescent="0.25">
      <c r="A2" s="1" t="s">
        <v>31</v>
      </c>
    </row>
    <row r="3" spans="1:8" x14ac:dyDescent="0.25">
      <c r="A3" s="1" t="s">
        <v>33</v>
      </c>
    </row>
    <row r="6" spans="1:8" ht="15.75" thickBot="1" x14ac:dyDescent="0.3">
      <c r="A6" t="s">
        <v>17</v>
      </c>
    </row>
    <row r="7" spans="1:8" x14ac:dyDescent="0.25">
      <c r="B7" s="14"/>
      <c r="C7" s="14"/>
      <c r="D7" s="14" t="s">
        <v>20</v>
      </c>
      <c r="E7" s="14" t="s">
        <v>22</v>
      </c>
      <c r="F7" s="14" t="s">
        <v>32</v>
      </c>
      <c r="G7" s="14" t="s">
        <v>36</v>
      </c>
      <c r="H7" s="14" t="s">
        <v>36</v>
      </c>
    </row>
    <row r="8" spans="1:8" ht="15.75" thickBot="1" x14ac:dyDescent="0.3">
      <c r="B8" s="15" t="s">
        <v>18</v>
      </c>
      <c r="C8" s="15" t="s">
        <v>19</v>
      </c>
      <c r="D8" s="15" t="s">
        <v>21</v>
      </c>
      <c r="E8" s="15" t="s">
        <v>34</v>
      </c>
      <c r="F8" s="15" t="s">
        <v>35</v>
      </c>
      <c r="G8" s="15" t="s">
        <v>37</v>
      </c>
      <c r="H8" s="15" t="s">
        <v>38</v>
      </c>
    </row>
    <row r="9" spans="1:8" x14ac:dyDescent="0.25">
      <c r="B9" s="12" t="s">
        <v>23</v>
      </c>
      <c r="C9" s="12" t="s">
        <v>5</v>
      </c>
      <c r="D9" s="12">
        <v>50.857142857142861</v>
      </c>
      <c r="E9" s="12">
        <v>0</v>
      </c>
      <c r="F9" s="12">
        <v>12000</v>
      </c>
      <c r="G9" s="12">
        <v>1E+30</v>
      </c>
      <c r="H9" s="12">
        <v>2500.0000000000005</v>
      </c>
    </row>
    <row r="10" spans="1:8" ht="15.75" thickBot="1" x14ac:dyDescent="0.3">
      <c r="B10" s="13" t="s">
        <v>24</v>
      </c>
      <c r="C10" s="13" t="s">
        <v>6</v>
      </c>
      <c r="D10" s="13">
        <v>24.142857142857139</v>
      </c>
      <c r="E10" s="13">
        <v>0</v>
      </c>
      <c r="F10" s="13">
        <v>9500</v>
      </c>
      <c r="G10" s="13">
        <v>2500.0000000000005</v>
      </c>
      <c r="H10" s="13">
        <v>9500</v>
      </c>
    </row>
    <row r="12" spans="1:8" ht="15.75" thickBot="1" x14ac:dyDescent="0.3">
      <c r="A12" t="s">
        <v>9</v>
      </c>
    </row>
    <row r="13" spans="1:8" x14ac:dyDescent="0.25">
      <c r="B13" s="14"/>
      <c r="C13" s="14"/>
      <c r="D13" s="14" t="s">
        <v>20</v>
      </c>
      <c r="E13" s="14" t="s">
        <v>39</v>
      </c>
      <c r="F13" s="14" t="s">
        <v>41</v>
      </c>
      <c r="G13" s="14" t="s">
        <v>36</v>
      </c>
      <c r="H13" s="14" t="s">
        <v>36</v>
      </c>
    </row>
    <row r="14" spans="1:8" ht="15.75" thickBot="1" x14ac:dyDescent="0.3">
      <c r="B14" s="15" t="s">
        <v>18</v>
      </c>
      <c r="C14" s="15" t="s">
        <v>19</v>
      </c>
      <c r="D14" s="15" t="s">
        <v>21</v>
      </c>
      <c r="E14" s="15" t="s">
        <v>40</v>
      </c>
      <c r="F14" s="15" t="s">
        <v>42</v>
      </c>
      <c r="G14" s="15" t="s">
        <v>37</v>
      </c>
      <c r="H14" s="15" t="s">
        <v>38</v>
      </c>
    </row>
    <row r="15" spans="1:8" x14ac:dyDescent="0.25">
      <c r="B15" s="12" t="s">
        <v>25</v>
      </c>
      <c r="C15" s="12" t="s">
        <v>11</v>
      </c>
      <c r="D15" s="12">
        <v>17.8</v>
      </c>
      <c r="E15" s="12">
        <v>7142.8571428571449</v>
      </c>
      <c r="F15" s="12">
        <v>17.8</v>
      </c>
      <c r="G15" s="12">
        <v>8.4499999999999975</v>
      </c>
      <c r="H15" s="12">
        <v>5.9283783783783788</v>
      </c>
    </row>
    <row r="16" spans="1:8" x14ac:dyDescent="0.25">
      <c r="B16" s="12" t="s">
        <v>26</v>
      </c>
      <c r="C16" s="12" t="s">
        <v>12</v>
      </c>
      <c r="D16" s="12">
        <v>8.9328571428571415</v>
      </c>
      <c r="E16" s="12">
        <v>0</v>
      </c>
      <c r="F16" s="12">
        <v>15.2</v>
      </c>
      <c r="G16" s="12">
        <v>1E+30</v>
      </c>
      <c r="H16" s="12">
        <v>6.2671428571428578</v>
      </c>
    </row>
    <row r="17" spans="2:8" x14ac:dyDescent="0.25">
      <c r="B17" s="12" t="s">
        <v>27</v>
      </c>
      <c r="C17" s="12" t="s">
        <v>13</v>
      </c>
      <c r="D17" s="12">
        <v>31.689999999999998</v>
      </c>
      <c r="E17" s="12">
        <v>0</v>
      </c>
      <c r="F17" s="12">
        <v>42</v>
      </c>
      <c r="G17" s="12">
        <v>1E+30</v>
      </c>
      <c r="H17" s="12">
        <v>10.31</v>
      </c>
    </row>
    <row r="18" spans="2:8" x14ac:dyDescent="0.25">
      <c r="B18" s="12" t="s">
        <v>28</v>
      </c>
      <c r="C18" s="12" t="s">
        <v>14</v>
      </c>
      <c r="D18" s="12">
        <v>235.68571428571428</v>
      </c>
      <c r="E18" s="12">
        <v>0</v>
      </c>
      <c r="F18" s="12">
        <v>720</v>
      </c>
      <c r="G18" s="12">
        <v>1E+30</v>
      </c>
      <c r="H18" s="12">
        <v>484.31428571428575</v>
      </c>
    </row>
    <row r="19" spans="2:8" ht="15.75" thickBot="1" x14ac:dyDescent="0.3">
      <c r="B19" s="13" t="s">
        <v>29</v>
      </c>
      <c r="C19" s="13" t="s">
        <v>15</v>
      </c>
      <c r="D19" s="13">
        <v>75</v>
      </c>
      <c r="E19" s="13">
        <v>9500</v>
      </c>
      <c r="F19" s="13">
        <v>75</v>
      </c>
      <c r="G19" s="13">
        <v>16.938223938223942</v>
      </c>
      <c r="H19" s="13">
        <v>24.142857142857139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Simplex</vt:lpstr>
      <vt:lpstr>Informe de sensibilidad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Molina Plata</dc:creator>
  <cp:lastModifiedBy>Camilo Andres Molina Plata</cp:lastModifiedBy>
  <dcterms:created xsi:type="dcterms:W3CDTF">2024-05-15T01:27:51Z</dcterms:created>
  <dcterms:modified xsi:type="dcterms:W3CDTF">2024-05-21T02:03:29Z</dcterms:modified>
</cp:coreProperties>
</file>